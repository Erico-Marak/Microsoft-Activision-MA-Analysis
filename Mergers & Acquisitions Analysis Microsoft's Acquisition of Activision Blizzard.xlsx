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ss\OneDrive\Desktop\Mergers &amp; Acquisitions Analysis Microsoft's Acquisition of Activision Blizzard\"/>
    </mc:Choice>
  </mc:AlternateContent>
  <xr:revisionPtr revIDLastSave="0" documentId="13_ncr:1_{27766903-FAEA-4970-8635-B18C07D2A1D9}" xr6:coauthVersionLast="47" xr6:coauthVersionMax="47" xr10:uidLastSave="{00000000-0000-0000-0000-000000000000}"/>
  <bookViews>
    <workbookView xWindow="-108" yWindow="-108" windowWidth="23256" windowHeight="12456" xr2:uid="{1E49FC7C-08E5-4015-9B8B-9F6FD56D6C7C}"/>
  </bookViews>
  <sheets>
    <sheet name="Deal Overview" sheetId="1" r:id="rId1"/>
    <sheet name="Financial Analysis" sheetId="2" r:id="rId2"/>
    <sheet name="Valuation" sheetId="3" r:id="rId3"/>
    <sheet name="Synergies" sheetId="4" r:id="rId4"/>
    <sheet name="Acceretion-Dilution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5" l="1"/>
  <c r="B6" i="5"/>
  <c r="B6" i="4"/>
  <c r="B5" i="4"/>
  <c r="B5" i="3"/>
  <c r="B8" i="3" s="1"/>
  <c r="B9" i="3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13" i="2"/>
  <c r="C13" i="2"/>
  <c r="B14" i="2"/>
  <c r="C14" i="2"/>
</calcChain>
</file>

<file path=xl/sharedStrings.xml><?xml version="1.0" encoding="utf-8"?>
<sst xmlns="http://schemas.openxmlformats.org/spreadsheetml/2006/main" count="112" uniqueCount="106">
  <si>
    <t>Particulars</t>
  </si>
  <si>
    <t>Details</t>
  </si>
  <si>
    <t>Acquirer</t>
  </si>
  <si>
    <t>Microsoft Corporation</t>
  </si>
  <si>
    <t>Target</t>
  </si>
  <si>
    <t>Activision Blizzard, Inc.</t>
  </si>
  <si>
    <t>Industry</t>
  </si>
  <si>
    <t>Technology / Gaming</t>
  </si>
  <si>
    <t>Announcement Date</t>
  </si>
  <si>
    <t>Closing Date</t>
  </si>
  <si>
    <t>Deal Value</t>
  </si>
  <si>
    <t>USD 68.7 Billion</t>
  </si>
  <si>
    <t>Purchase Price per Share</t>
  </si>
  <si>
    <t>USD 95.00</t>
  </si>
  <si>
    <t>Deal Type</t>
  </si>
  <si>
    <t>All-Cash Acquisition</t>
  </si>
  <si>
    <t>Financing</t>
  </si>
  <si>
    <t>Cash on Hand + Debt Financing</t>
  </si>
  <si>
    <t>Financial Advisor (Microsoft)</t>
  </si>
  <si>
    <t>Morgan Stanley</t>
  </si>
  <si>
    <t>Financial Advisor (Activision Blizzard)</t>
  </si>
  <si>
    <t>Goldman Sachs</t>
  </si>
  <si>
    <t>Target Market Cap (Announcement)</t>
  </si>
  <si>
    <t>~USD 50 Billion</t>
  </si>
  <si>
    <t>Premium Paid</t>
  </si>
  <si>
    <t>Approximately 45%</t>
  </si>
  <si>
    <t>Purpose of Acquisition</t>
  </si>
  <si>
    <t>Strengthen Microsoft's Gaming Business</t>
  </si>
  <si>
    <t>Key Businesses Acquired</t>
  </si>
  <si>
    <t>Activision, Blizzard Entertainment, King Digital</t>
  </si>
  <si>
    <t>Expected Benefits</t>
  </si>
  <si>
    <t>Expand Xbox, Game Pass, Cloud Gaming and Mobile Gaming</t>
  </si>
  <si>
    <t>Deal Status</t>
  </si>
  <si>
    <t>Completed</t>
  </si>
  <si>
    <t>Title: Mergers &amp; Acquisitions Analysis: Microsoft's Acquisition of Activision Blizzard
Subtitle: Based on Microsoft Annual Report 2023, Activision Blizzard Annual Report 2022, and Microsoft's Official Acquisition Announcement</t>
  </si>
  <si>
    <t>Strategic Rationale</t>
  </si>
  <si>
    <t>Expand Microsoft's gaming ecosystem.</t>
  </si>
  <si>
    <t>Increase Game Pass content library.</t>
  </si>
  <si>
    <t>Enter mobile gaming through King.</t>
  </si>
  <si>
    <t>Strengthen cloud gaming capabilities.</t>
  </si>
  <si>
    <t>Become the third-largest gaming company by revenue.</t>
  </si>
  <si>
    <t>Major Game Franchises Acquired</t>
  </si>
  <si>
    <t>Call of Duty</t>
  </si>
  <si>
    <t>Diablo</t>
  </si>
  <si>
    <t>Warcraft</t>
  </si>
  <si>
    <t>Overwatch</t>
  </si>
  <si>
    <t>Candy Crush</t>
  </si>
  <si>
    <t>StarCraft</t>
  </si>
  <si>
    <t>Crash Bandicoot</t>
  </si>
  <si>
    <t>Spyro</t>
  </si>
  <si>
    <r>
      <t xml:space="preserve">Title: </t>
    </r>
    <r>
      <rPr>
        <b/>
        <sz val="11"/>
        <color theme="1"/>
        <rFont val="Aptos Narrow"/>
        <family val="2"/>
        <scheme val="minor"/>
      </rPr>
      <t>Financial Analysis</t>
    </r>
    <r>
      <rPr>
        <sz val="11"/>
        <color theme="1"/>
        <rFont val="Aptos Narrow"/>
        <family val="2"/>
        <scheme val="minor"/>
      </rPr>
      <t xml:space="preserve">
Subtitle: </t>
    </r>
    <r>
      <rPr>
        <b/>
        <sz val="11"/>
        <color theme="1"/>
        <rFont val="Aptos Narrow"/>
        <family val="2"/>
        <scheme val="minor"/>
      </rPr>
      <t>Microsoft FY2023 vs Activision Blizzard FY2022</t>
    </r>
  </si>
  <si>
    <t>Microsoft (FY2023)</t>
  </si>
  <si>
    <t>Activision Blizzard (FY2022)</t>
  </si>
  <si>
    <t>Revenue</t>
  </si>
  <si>
    <t>Gross Profit</t>
  </si>
  <si>
    <t>Operating Income</t>
  </si>
  <si>
    <t>Net Income</t>
  </si>
  <si>
    <t>Total Assets</t>
  </si>
  <si>
    <t>Total Liabilities</t>
  </si>
  <si>
    <t>Shareholders' Equity</t>
  </si>
  <si>
    <t>Operating Cash Flow</t>
  </si>
  <si>
    <t>Capital Expenditure</t>
  </si>
  <si>
    <t>Free Cash Flow</t>
  </si>
  <si>
    <t>EBITDA</t>
  </si>
  <si>
    <t>Ratio</t>
  </si>
  <si>
    <t>Revenue Growth</t>
  </si>
  <si>
    <t>Gross Margin</t>
  </si>
  <si>
    <t>Operating Margin</t>
  </si>
  <si>
    <t>Net Profit Margin</t>
  </si>
  <si>
    <t>ROA</t>
  </si>
  <si>
    <t>ROE</t>
  </si>
  <si>
    <t>Debt-to-Equity</t>
  </si>
  <si>
    <t>Asset Turnover</t>
  </si>
  <si>
    <t>Operating Cash Flow Margin</t>
  </si>
  <si>
    <t>Free Cash Flow Margin</t>
  </si>
  <si>
    <t>Microsoft Formula</t>
  </si>
  <si>
    <t>Activision Formula</t>
  </si>
  <si>
    <t>Value / Formula</t>
  </si>
  <si>
    <t>Activision Share Price (Pre-Announcement)</t>
  </si>
  <si>
    <t>Offer Price per Share</t>
  </si>
  <si>
    <t>Shares Outstanding (Million)</t>
  </si>
  <si>
    <t>Equity Value</t>
  </si>
  <si>
    <t>Cash &amp; Cash Equivalents</t>
  </si>
  <si>
    <t>Total Debt</t>
  </si>
  <si>
    <t>Enterprise Value</t>
  </si>
  <si>
    <t>Purchase Premium (%)</t>
  </si>
  <si>
    <t>Value (USD Million)</t>
  </si>
  <si>
    <t>Annual Revenue Synergies</t>
  </si>
  <si>
    <t>Annual Cost Synergies</t>
  </si>
  <si>
    <t>Integration Costs</t>
  </si>
  <si>
    <t>Total Annual Synergies</t>
  </si>
  <si>
    <t>Net Synergies (Year 1)</t>
  </si>
  <si>
    <t>Microsoft Net Income</t>
  </si>
  <si>
    <t>Activision Net Income</t>
  </si>
  <si>
    <t>Synergy Impact</t>
  </si>
  <si>
    <t>Combined Net Income</t>
  </si>
  <si>
    <t>Accretion / Dilution (%)</t>
  </si>
  <si>
    <t>Metric</t>
  </si>
  <si>
    <t>Value</t>
  </si>
  <si>
    <t>Deal Value (Enterprise Value)</t>
  </si>
  <si>
    <t>Purchase Premium</t>
  </si>
  <si>
    <t>Microsoft Revenue</t>
  </si>
  <si>
    <t>Activision Revenue</t>
  </si>
  <si>
    <t>Combined Revenue</t>
  </si>
  <si>
    <t>Annual Synergies</t>
  </si>
  <si>
    <t>Accretion /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</si>
</sst>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0.0%"/>
    <numFmt numFmtId="170" formatCode="_(* #,##0_);_(* \(#,##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168" fontId="5" fillId="0" borderId="1" xfId="2" applyNumberFormat="1" applyFont="1" applyBorder="1" applyAlignment="1">
      <alignment vertical="center" wrapText="1"/>
    </xf>
    <xf numFmtId="170" fontId="5" fillId="0" borderId="1" xfId="1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9" fontId="5" fillId="0" borderId="1" xfId="2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43" fontId="5" fillId="0" borderId="1" xfId="1" applyNumberFormat="1" applyFont="1" applyBorder="1" applyAlignment="1">
      <alignment horizontal="right" vertical="center" wrapText="1"/>
    </xf>
    <xf numFmtId="3" fontId="6" fillId="5" borderId="1" xfId="0" applyNumberFormat="1" applyFont="1" applyFill="1" applyBorder="1" applyAlignment="1">
      <alignment horizontal="right" vertical="center" wrapText="1"/>
    </xf>
    <xf numFmtId="9" fontId="0" fillId="0" borderId="1" xfId="0" applyNumberFormat="1" applyBorder="1" applyAlignment="1">
      <alignment horizontal="center" vertical="center" wrapText="1"/>
    </xf>
    <xf numFmtId="170" fontId="0" fillId="0" borderId="1" xfId="1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70" fontId="0" fillId="0" borderId="1" xfId="1" applyNumberFormat="1" applyFont="1" applyBorder="1" applyAlignment="1">
      <alignment vertical="center" wrapText="1"/>
    </xf>
    <xf numFmtId="170" fontId="5" fillId="0" borderId="1" xfId="1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right" vertical="center" wrapText="1"/>
    </xf>
    <xf numFmtId="9" fontId="2" fillId="4" borderId="1" xfId="0" applyNumberFormat="1" applyFont="1" applyFill="1" applyBorder="1" applyAlignment="1">
      <alignment vertical="center" wrapText="1"/>
    </xf>
    <xf numFmtId="170" fontId="5" fillId="4" borderId="1" xfId="1" applyNumberFormat="1" applyFont="1" applyFill="1" applyBorder="1" applyAlignment="1">
      <alignment horizontal="right" vertical="center" wrapText="1"/>
    </xf>
    <xf numFmtId="10" fontId="5" fillId="4" borderId="1" xfId="2" applyNumberFormat="1" applyFont="1" applyFill="1" applyBorder="1" applyAlignment="1">
      <alignment horizontal="right" vertical="center" wrapText="1"/>
    </xf>
    <xf numFmtId="9" fontId="0" fillId="0" borderId="1" xfId="2" applyFont="1" applyBorder="1" applyAlignment="1">
      <alignment horizontal="right" vertical="center" wrapText="1"/>
    </xf>
    <xf numFmtId="10" fontId="0" fillId="0" borderId="1" xfId="2" applyNumberFormat="1" applyFont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005F-F1BF-472E-9191-60A64E785083}">
  <dimension ref="A1:B39"/>
  <sheetViews>
    <sheetView tabSelected="1" workbookViewId="0">
      <selection activeCell="A33" sqref="A33"/>
    </sheetView>
  </sheetViews>
  <sheetFormatPr defaultRowHeight="14.4"/>
  <cols>
    <col min="1" max="1" width="113.77734375" customWidth="1"/>
    <col min="2" max="2" width="21.33203125" customWidth="1"/>
  </cols>
  <sheetData>
    <row r="1" spans="1:2" ht="72">
      <c r="A1" s="3" t="s">
        <v>34</v>
      </c>
    </row>
    <row r="3" spans="1:2">
      <c r="A3" s="6" t="s">
        <v>0</v>
      </c>
      <c r="B3" s="6" t="s">
        <v>1</v>
      </c>
    </row>
    <row r="4" spans="1:2">
      <c r="A4" s="4" t="s">
        <v>2</v>
      </c>
      <c r="B4" s="4" t="s">
        <v>3</v>
      </c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5">
        <v>44579</v>
      </c>
    </row>
    <row r="8" spans="1:2">
      <c r="A8" s="4" t="s">
        <v>9</v>
      </c>
      <c r="B8" s="5">
        <v>45212</v>
      </c>
    </row>
    <row r="9" spans="1:2">
      <c r="A9" s="4" t="s">
        <v>10</v>
      </c>
      <c r="B9" s="4" t="s">
        <v>11</v>
      </c>
    </row>
    <row r="10" spans="1:2">
      <c r="A10" s="4" t="s">
        <v>12</v>
      </c>
      <c r="B10" s="4" t="s">
        <v>13</v>
      </c>
    </row>
    <row r="11" spans="1:2">
      <c r="A11" s="4" t="s">
        <v>14</v>
      </c>
      <c r="B11" s="4" t="s">
        <v>15</v>
      </c>
    </row>
    <row r="12" spans="1:2" ht="28.8">
      <c r="A12" s="4" t="s">
        <v>16</v>
      </c>
      <c r="B12" s="4" t="s">
        <v>17</v>
      </c>
    </row>
    <row r="13" spans="1:2">
      <c r="A13" s="4" t="s">
        <v>18</v>
      </c>
      <c r="B13" s="4" t="s">
        <v>19</v>
      </c>
    </row>
    <row r="14" spans="1:2">
      <c r="A14" s="4" t="s">
        <v>20</v>
      </c>
      <c r="B14" s="4" t="s">
        <v>21</v>
      </c>
    </row>
    <row r="15" spans="1:2">
      <c r="A15" s="4" t="s">
        <v>22</v>
      </c>
      <c r="B15" s="4" t="s">
        <v>23</v>
      </c>
    </row>
    <row r="16" spans="1:2">
      <c r="A16" s="4" t="s">
        <v>24</v>
      </c>
      <c r="B16" s="4" t="s">
        <v>25</v>
      </c>
    </row>
    <row r="17" spans="1:2" ht="28.8">
      <c r="A17" s="4" t="s">
        <v>26</v>
      </c>
      <c r="B17" s="4" t="s">
        <v>27</v>
      </c>
    </row>
    <row r="18" spans="1:2" ht="43.2">
      <c r="A18" s="4" t="s">
        <v>28</v>
      </c>
      <c r="B18" s="4" t="s">
        <v>29</v>
      </c>
    </row>
    <row r="19" spans="1:2" ht="43.2">
      <c r="A19" s="4" t="s">
        <v>30</v>
      </c>
      <c r="B19" s="4" t="s">
        <v>31</v>
      </c>
    </row>
    <row r="20" spans="1:2">
      <c r="A20" s="4" t="s">
        <v>32</v>
      </c>
      <c r="B20" s="4" t="s">
        <v>33</v>
      </c>
    </row>
    <row r="22" spans="1:2" ht="15.6">
      <c r="A22" s="16" t="s">
        <v>35</v>
      </c>
    </row>
    <row r="23" spans="1:2">
      <c r="A23" s="17"/>
    </row>
    <row r="24" spans="1:2">
      <c r="A24" s="17" t="s">
        <v>36</v>
      </c>
    </row>
    <row r="25" spans="1:2">
      <c r="A25" s="17" t="s">
        <v>37</v>
      </c>
    </row>
    <row r="26" spans="1:2">
      <c r="A26" s="17" t="s">
        <v>38</v>
      </c>
    </row>
    <row r="27" spans="1:2">
      <c r="A27" s="17" t="s">
        <v>39</v>
      </c>
    </row>
    <row r="28" spans="1:2">
      <c r="A28" s="17" t="s">
        <v>40</v>
      </c>
    </row>
    <row r="29" spans="1:2">
      <c r="A29" s="18"/>
    </row>
    <row r="30" spans="1:2" ht="15.6">
      <c r="A30" s="16" t="s">
        <v>41</v>
      </c>
    </row>
    <row r="31" spans="1:2">
      <c r="A31" s="17"/>
    </row>
    <row r="32" spans="1:2">
      <c r="A32" s="17" t="s">
        <v>42</v>
      </c>
    </row>
    <row r="33" spans="1:1">
      <c r="A33" s="17" t="s">
        <v>43</v>
      </c>
    </row>
    <row r="34" spans="1:1">
      <c r="A34" s="17" t="s">
        <v>44</v>
      </c>
    </row>
    <row r="35" spans="1:1">
      <c r="A35" s="17" t="s">
        <v>45</v>
      </c>
    </row>
    <row r="36" spans="1:1">
      <c r="A36" s="17" t="s">
        <v>46</v>
      </c>
    </row>
    <row r="37" spans="1:1">
      <c r="A37" s="17" t="s">
        <v>47</v>
      </c>
    </row>
    <row r="38" spans="1:1">
      <c r="A38" s="17" t="s">
        <v>48</v>
      </c>
    </row>
    <row r="39" spans="1:1">
      <c r="A39" s="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BB12-2628-4927-8156-C1A23CBD8D12}">
  <dimension ref="A1:E27"/>
  <sheetViews>
    <sheetView workbookViewId="0">
      <selection activeCell="A25" sqref="A25"/>
    </sheetView>
  </sheetViews>
  <sheetFormatPr defaultRowHeight="14.4"/>
  <cols>
    <col min="1" max="1" width="28.109375" customWidth="1"/>
    <col min="2" max="2" width="27.88671875" customWidth="1"/>
    <col min="3" max="3" width="24.88671875" customWidth="1"/>
  </cols>
  <sheetData>
    <row r="1" spans="1:5" ht="43.2">
      <c r="A1" s="7" t="s">
        <v>50</v>
      </c>
    </row>
    <row r="3" spans="1:5">
      <c r="A3" s="10" t="s">
        <v>0</v>
      </c>
      <c r="B3" s="10" t="s">
        <v>51</v>
      </c>
      <c r="C3" s="10" t="s">
        <v>52</v>
      </c>
    </row>
    <row r="4" spans="1:5">
      <c r="A4" s="4" t="s">
        <v>53</v>
      </c>
      <c r="B4" s="19">
        <v>211915</v>
      </c>
      <c r="C4" s="19">
        <v>7528</v>
      </c>
      <c r="D4" s="1"/>
      <c r="E4" s="8"/>
    </row>
    <row r="5" spans="1:5">
      <c r="A5" s="4" t="s">
        <v>54</v>
      </c>
      <c r="B5" s="19">
        <v>146052</v>
      </c>
      <c r="C5" s="19">
        <v>5858</v>
      </c>
      <c r="D5" s="2"/>
      <c r="E5" s="11"/>
    </row>
    <row r="6" spans="1:5">
      <c r="A6" s="4" t="s">
        <v>55</v>
      </c>
      <c r="B6" s="19">
        <v>88523</v>
      </c>
      <c r="C6" s="19">
        <v>1670</v>
      </c>
      <c r="D6" s="2"/>
      <c r="E6" s="11"/>
    </row>
    <row r="7" spans="1:5">
      <c r="A7" s="4" t="s">
        <v>56</v>
      </c>
      <c r="B7" s="19">
        <v>72361</v>
      </c>
      <c r="C7" s="19">
        <v>1513</v>
      </c>
      <c r="D7" s="2"/>
      <c r="E7" s="11"/>
    </row>
    <row r="8" spans="1:5">
      <c r="A8" s="4" t="s">
        <v>57</v>
      </c>
      <c r="B8" s="19">
        <v>411976</v>
      </c>
      <c r="C8" s="19">
        <v>23109</v>
      </c>
      <c r="D8" s="2"/>
      <c r="E8" s="11"/>
    </row>
    <row r="9" spans="1:5">
      <c r="A9" s="4" t="s">
        <v>58</v>
      </c>
      <c r="B9" s="19">
        <v>205753</v>
      </c>
      <c r="C9" s="19">
        <v>8910</v>
      </c>
      <c r="D9" s="2"/>
      <c r="E9" s="11"/>
    </row>
    <row r="10" spans="1:5">
      <c r="A10" s="4" t="s">
        <v>59</v>
      </c>
      <c r="B10" s="19">
        <v>206223</v>
      </c>
      <c r="C10" s="19">
        <v>14199</v>
      </c>
      <c r="D10" s="2"/>
      <c r="E10" s="11"/>
    </row>
    <row r="11" spans="1:5">
      <c r="A11" s="4" t="s">
        <v>60</v>
      </c>
      <c r="B11" s="19">
        <v>87582</v>
      </c>
      <c r="C11" s="19">
        <v>2220</v>
      </c>
      <c r="D11" s="2"/>
      <c r="E11" s="11"/>
    </row>
    <row r="12" spans="1:5">
      <c r="A12" s="4" t="s">
        <v>61</v>
      </c>
      <c r="B12" s="19">
        <v>28107</v>
      </c>
      <c r="C12" s="20">
        <v>91</v>
      </c>
    </row>
    <row r="13" spans="1:5">
      <c r="A13" s="22" t="s">
        <v>62</v>
      </c>
      <c r="B13" s="24">
        <f>B11-B12</f>
        <v>59475</v>
      </c>
      <c r="C13" s="24">
        <f>C11-C12</f>
        <v>2129</v>
      </c>
    </row>
    <row r="14" spans="1:5">
      <c r="A14" s="22" t="s">
        <v>63</v>
      </c>
      <c r="B14" s="24">
        <f>B6+13861</f>
        <v>102384</v>
      </c>
      <c r="C14" s="24">
        <f>C6+319</f>
        <v>1989</v>
      </c>
    </row>
    <row r="15" spans="1:5">
      <c r="A15" s="4"/>
      <c r="B15" s="13"/>
      <c r="C15" s="20"/>
    </row>
    <row r="16" spans="1:5">
      <c r="A16" s="10" t="s">
        <v>64</v>
      </c>
      <c r="B16" s="10" t="s">
        <v>75</v>
      </c>
      <c r="C16" s="10" t="s">
        <v>76</v>
      </c>
    </row>
    <row r="17" spans="1:3">
      <c r="A17" s="4" t="s">
        <v>65</v>
      </c>
      <c r="B17" s="21">
        <f>(211915-198270)/198270</f>
        <v>6.8820295556564284E-2</v>
      </c>
      <c r="C17" s="21">
        <f>(7528-8803)/8803</f>
        <v>-0.14483698739066228</v>
      </c>
    </row>
    <row r="18" spans="1:3">
      <c r="A18" s="4" t="s">
        <v>66</v>
      </c>
      <c r="B18" s="21">
        <f>B5/B4</f>
        <v>0.68920085883491022</v>
      </c>
      <c r="C18" s="21">
        <f>C5/C4</f>
        <v>0.7781615302869288</v>
      </c>
    </row>
    <row r="19" spans="1:3">
      <c r="A19" s="4" t="s">
        <v>67</v>
      </c>
      <c r="B19" s="21">
        <f>B6/B4</f>
        <v>0.41772880636104098</v>
      </c>
      <c r="C19" s="21">
        <f>C6/C4</f>
        <v>0.2218384697130712</v>
      </c>
    </row>
    <row r="20" spans="1:3">
      <c r="A20" s="4" t="s">
        <v>68</v>
      </c>
      <c r="B20" s="21">
        <f>B7/B4</f>
        <v>0.34146237878394642</v>
      </c>
      <c r="C20" s="21">
        <f>C7/C4</f>
        <v>0.20098299681190224</v>
      </c>
    </row>
    <row r="21" spans="1:3">
      <c r="A21" s="4" t="s">
        <v>69</v>
      </c>
      <c r="B21" s="21">
        <f>B7/B8</f>
        <v>0.175643726819038</v>
      </c>
      <c r="C21" s="21">
        <f>C7/C8</f>
        <v>6.5472326799082603E-2</v>
      </c>
    </row>
    <row r="22" spans="1:3">
      <c r="A22" s="4" t="s">
        <v>70</v>
      </c>
      <c r="B22" s="21">
        <f>B7/B10</f>
        <v>0.35088714643856406</v>
      </c>
      <c r="C22" s="21">
        <f>C7/C10</f>
        <v>0.10655679977463202</v>
      </c>
    </row>
    <row r="23" spans="1:3">
      <c r="A23" s="4" t="s">
        <v>71</v>
      </c>
      <c r="B23" s="23">
        <f>B9/B10</f>
        <v>0.99772091376810546</v>
      </c>
      <c r="C23" s="23">
        <f>C9/C10</f>
        <v>0.62750897950559903</v>
      </c>
    </row>
    <row r="24" spans="1:3">
      <c r="A24" s="4" t="s">
        <v>72</v>
      </c>
      <c r="B24" s="23">
        <f>B4/B8</f>
        <v>0.51438676039380937</v>
      </c>
      <c r="C24" s="23">
        <f>C4/C8</f>
        <v>0.32576052620191265</v>
      </c>
    </row>
    <row r="25" spans="1:3">
      <c r="A25" s="25" t="s">
        <v>73</v>
      </c>
      <c r="B25" s="21">
        <f>B11/B4</f>
        <v>0.4132883467427978</v>
      </c>
      <c r="C25" s="21">
        <f>C11/C4</f>
        <v>0.29489904357066948</v>
      </c>
    </row>
    <row r="26" spans="1:3">
      <c r="A26" s="4" t="s">
        <v>74</v>
      </c>
      <c r="B26" s="21">
        <f>B13/B4</f>
        <v>0.28065497959087371</v>
      </c>
      <c r="C26" s="21">
        <f>C13/C4</f>
        <v>0.28281083953241232</v>
      </c>
    </row>
    <row r="27" spans="1:3">
      <c r="A27" s="2"/>
      <c r="B2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CD0B-4036-4A23-B017-91F2DFB75DFD}">
  <dimension ref="A1:B9"/>
  <sheetViews>
    <sheetView workbookViewId="0">
      <selection activeCell="B24" sqref="B24"/>
    </sheetView>
  </sheetViews>
  <sheetFormatPr defaultRowHeight="14.4"/>
  <cols>
    <col min="1" max="1" width="42.21875" customWidth="1"/>
    <col min="2" max="2" width="49.21875" customWidth="1"/>
  </cols>
  <sheetData>
    <row r="1" spans="1:2">
      <c r="A1" s="27" t="s">
        <v>0</v>
      </c>
      <c r="B1" s="27" t="s">
        <v>77</v>
      </c>
    </row>
    <row r="2" spans="1:2">
      <c r="A2" s="9" t="s">
        <v>78</v>
      </c>
      <c r="B2" s="28">
        <v>65.39</v>
      </c>
    </row>
    <row r="3" spans="1:2">
      <c r="A3" s="9" t="s">
        <v>79</v>
      </c>
      <c r="B3" s="28">
        <v>95</v>
      </c>
    </row>
    <row r="4" spans="1:2">
      <c r="A4" s="9" t="s">
        <v>80</v>
      </c>
      <c r="B4" s="28">
        <v>789</v>
      </c>
    </row>
    <row r="5" spans="1:2">
      <c r="A5" s="9" t="s">
        <v>81</v>
      </c>
      <c r="B5" s="29">
        <f>B3*B4</f>
        <v>74955</v>
      </c>
    </row>
    <row r="6" spans="1:2">
      <c r="A6" s="9" t="s">
        <v>82</v>
      </c>
      <c r="B6" s="28">
        <v>7086</v>
      </c>
    </row>
    <row r="7" spans="1:2">
      <c r="A7" s="9" t="s">
        <v>83</v>
      </c>
      <c r="B7" s="28">
        <v>3189</v>
      </c>
    </row>
    <row r="8" spans="1:2">
      <c r="A8" s="9" t="s">
        <v>84</v>
      </c>
      <c r="B8" s="29">
        <f>B5+B7-B6</f>
        <v>71058</v>
      </c>
    </row>
    <row r="9" spans="1:2">
      <c r="A9" s="9" t="s">
        <v>85</v>
      </c>
      <c r="B9" s="14">
        <f>(B3-B2)/B2</f>
        <v>0.45282153234439515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3EDA-11ED-4A42-B9AC-A6222B2A2721}">
  <dimension ref="A1:B6"/>
  <sheetViews>
    <sheetView workbookViewId="0">
      <selection activeCell="D10" sqref="D10"/>
    </sheetView>
  </sheetViews>
  <sheetFormatPr defaultRowHeight="14.4"/>
  <cols>
    <col min="1" max="1" width="22.21875" customWidth="1"/>
    <col min="2" max="2" width="26.77734375" customWidth="1"/>
  </cols>
  <sheetData>
    <row r="1" spans="1:2">
      <c r="A1" s="31" t="s">
        <v>0</v>
      </c>
      <c r="B1" s="32" t="s">
        <v>86</v>
      </c>
    </row>
    <row r="2" spans="1:2">
      <c r="A2" s="30" t="s">
        <v>87</v>
      </c>
      <c r="B2" s="26">
        <v>500</v>
      </c>
    </row>
    <row r="3" spans="1:2">
      <c r="A3" s="30" t="s">
        <v>88</v>
      </c>
      <c r="B3" s="26">
        <v>300</v>
      </c>
    </row>
    <row r="4" spans="1:2">
      <c r="A4" s="30" t="s">
        <v>89</v>
      </c>
      <c r="B4" s="26">
        <v>1000</v>
      </c>
    </row>
    <row r="5" spans="1:2">
      <c r="A5" s="30" t="s">
        <v>90</v>
      </c>
      <c r="B5" s="15">
        <f>B2+B3</f>
        <v>800</v>
      </c>
    </row>
    <row r="6" spans="1:2">
      <c r="A6" s="30" t="s">
        <v>91</v>
      </c>
      <c r="B6" s="15">
        <f>B5-B4</f>
        <v>-200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2C8E-63F9-4823-9214-89B1249F2154}">
  <dimension ref="A1:B6"/>
  <sheetViews>
    <sheetView workbookViewId="0">
      <selection activeCell="H6" sqref="H6"/>
    </sheetView>
  </sheetViews>
  <sheetFormatPr defaultRowHeight="14.4"/>
  <cols>
    <col min="1" max="1" width="22.5546875" customWidth="1"/>
    <col min="2" max="2" width="28.109375" customWidth="1"/>
  </cols>
  <sheetData>
    <row r="1" spans="1:2">
      <c r="A1" s="31" t="s">
        <v>0</v>
      </c>
      <c r="B1" s="32" t="s">
        <v>86</v>
      </c>
    </row>
    <row r="2" spans="1:2">
      <c r="A2" s="30" t="s">
        <v>92</v>
      </c>
      <c r="B2" s="26">
        <v>72361</v>
      </c>
    </row>
    <row r="3" spans="1:2">
      <c r="A3" s="30" t="s">
        <v>93</v>
      </c>
      <c r="B3" s="26">
        <v>1513</v>
      </c>
    </row>
    <row r="4" spans="1:2">
      <c r="A4" s="30" t="s">
        <v>94</v>
      </c>
      <c r="B4" s="26">
        <v>-200</v>
      </c>
    </row>
    <row r="5" spans="1:2">
      <c r="A5" s="33" t="s">
        <v>95</v>
      </c>
      <c r="B5" s="34">
        <f>B2+B3+B4</f>
        <v>73674</v>
      </c>
    </row>
    <row r="6" spans="1:2">
      <c r="A6" s="33" t="s">
        <v>96</v>
      </c>
      <c r="B6" s="35">
        <f>(B5-B2)/B2</f>
        <v>1.8145133428227912E-2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3B69-E861-46C5-982F-1052D861D7CB}">
  <dimension ref="A1:B9"/>
  <sheetViews>
    <sheetView workbookViewId="0">
      <selection activeCell="B9" sqref="B9"/>
    </sheetView>
  </sheetViews>
  <sheetFormatPr defaultRowHeight="14.4"/>
  <cols>
    <col min="1" max="1" width="24.44140625" customWidth="1"/>
    <col min="2" max="2" width="20.88671875" customWidth="1"/>
  </cols>
  <sheetData>
    <row r="1" spans="1:2">
      <c r="A1" s="31" t="s">
        <v>97</v>
      </c>
      <c r="B1" s="32" t="s">
        <v>98</v>
      </c>
    </row>
    <row r="2" spans="1:2">
      <c r="A2" s="30" t="s">
        <v>99</v>
      </c>
      <c r="B2" s="26">
        <v>71058</v>
      </c>
    </row>
    <row r="3" spans="1:2">
      <c r="A3" s="30" t="s">
        <v>100</v>
      </c>
      <c r="B3" s="36">
        <v>0.45300000000000001</v>
      </c>
    </row>
    <row r="4" spans="1:2">
      <c r="A4" s="30" t="s">
        <v>101</v>
      </c>
      <c r="B4" s="26">
        <v>211915</v>
      </c>
    </row>
    <row r="5" spans="1:2">
      <c r="A5" s="30" t="s">
        <v>102</v>
      </c>
      <c r="B5" s="26">
        <v>7528</v>
      </c>
    </row>
    <row r="6" spans="1:2">
      <c r="A6" s="30" t="s">
        <v>103</v>
      </c>
      <c r="B6" s="26">
        <v>219443</v>
      </c>
    </row>
    <row r="7" spans="1:2">
      <c r="A7" s="30" t="s">
        <v>104</v>
      </c>
      <c r="B7" s="26">
        <v>800</v>
      </c>
    </row>
    <row r="8" spans="1:2">
      <c r="A8" s="30" t="s">
        <v>91</v>
      </c>
      <c r="B8" s="26">
        <v>-200</v>
      </c>
    </row>
    <row r="9" spans="1:2">
      <c r="A9" s="30" t="s">
        <v>105</v>
      </c>
      <c r="B9" s="37">
        <v>1.8100000000000002E-2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Deal Overview</vt:lpstr>
      <vt:lpstr>Financial Analysis</vt:lpstr>
      <vt:lpstr>Valuation</vt:lpstr>
      <vt:lpstr>Synergies</vt:lpstr>
      <vt:lpstr>Acceretion-Dilution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Erico Marak</dc:creator>
  <cp:lastModifiedBy>Erico Marak</cp:lastModifiedBy>
  <dcterms:created xsi:type="dcterms:W3CDTF">2026-06-28T18:05:22Z</dcterms:created>
  <dcterms:modified xsi:type="dcterms:W3CDTF">2026-06-28T20:12:08Z</dcterms:modified>
</cp:coreProperties>
</file>